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Management" sheetId="1" r:id="rId5"/>
    <sheet state="visible" name="Risk Assessment" sheetId="2" r:id="rId6"/>
    <sheet state="visible" name="Asset Value Rating System" sheetId="3" r:id="rId7"/>
  </sheets>
  <definedNames/>
  <calcPr/>
</workbook>
</file>

<file path=xl/sharedStrings.xml><?xml version="1.0" encoding="utf-8"?>
<sst xmlns="http://schemas.openxmlformats.org/spreadsheetml/2006/main" count="250" uniqueCount="118">
  <si>
    <t>Asset ID</t>
  </si>
  <si>
    <t>Asset Name</t>
  </si>
  <si>
    <t>Asset Type</t>
  </si>
  <si>
    <t>IP Address</t>
  </si>
  <si>
    <t>Location</t>
  </si>
  <si>
    <t>Owner</t>
  </si>
  <si>
    <t>Operating System</t>
  </si>
  <si>
    <t>Software Version</t>
  </si>
  <si>
    <t>Purchase Date</t>
  </si>
  <si>
    <t>Warranty Expiration</t>
  </si>
  <si>
    <t>Criticality</t>
  </si>
  <si>
    <t>Vulnerabilities Identified</t>
  </si>
  <si>
    <t>Security Review</t>
  </si>
  <si>
    <t>Comments</t>
  </si>
  <si>
    <t>Email Server</t>
  </si>
  <si>
    <t>Server</t>
  </si>
  <si>
    <t>192.xxx.xxx.xxx</t>
  </si>
  <si>
    <t>Data Center</t>
  </si>
  <si>
    <t>IT Dept.</t>
  </si>
  <si>
    <t>&lt;OS&gt;</t>
  </si>
  <si>
    <t>&lt;Software Version #&gt;</t>
  </si>
  <si>
    <t>&lt;Devices Since Late 2010s&gt;</t>
  </si>
  <si>
    <t>&lt;Warranty for &lt;= 12 years&gt;</t>
  </si>
  <si>
    <t>High</t>
  </si>
  <si>
    <t>&lt;Audit Cycles within 18 Months&gt;</t>
  </si>
  <si>
    <t>Web Server</t>
  </si>
  <si>
    <t>OpenSSL vulnerability</t>
  </si>
  <si>
    <t>Database Server</t>
  </si>
  <si>
    <t>SQL injection vulnerability</t>
  </si>
  <si>
    <t>Laptop-Fin-005</t>
  </si>
  <si>
    <t>Workstation</t>
  </si>
  <si>
    <t>Office</t>
  </si>
  <si>
    <t>Finance</t>
  </si>
  <si>
    <t>Medium</t>
  </si>
  <si>
    <t>Laptop-001</t>
  </si>
  <si>
    <t>Emanuel Hendricks</t>
  </si>
  <si>
    <t>Laptop-002</t>
  </si>
  <si>
    <t>Alex Smith</t>
  </si>
  <si>
    <t>CVE-2017-0144 (EternalBlue)</t>
  </si>
  <si>
    <t>Laptop-CEO</t>
  </si>
  <si>
    <t>CEO Willa Herzog</t>
  </si>
  <si>
    <t>Switch-001</t>
  </si>
  <si>
    <t>Networking</t>
  </si>
  <si>
    <t>Firewall-001</t>
  </si>
  <si>
    <t>Security</t>
  </si>
  <si>
    <t>FortiOS vulnerability</t>
  </si>
  <si>
    <t>Risk ID</t>
  </si>
  <si>
    <t>Risk Description</t>
  </si>
  <si>
    <t>Asset Involved</t>
  </si>
  <si>
    <t>Threat Source</t>
  </si>
  <si>
    <t>Vulnerability</t>
  </si>
  <si>
    <t>Potential Impact</t>
  </si>
  <si>
    <t>Likelihood</t>
  </si>
  <si>
    <t>Impact Level</t>
  </si>
  <si>
    <t>Risk Level</t>
  </si>
  <si>
    <t>Existing Controls</t>
  </si>
  <si>
    <t>Recommended Mitigation</t>
  </si>
  <si>
    <t>Risk Owner</t>
  </si>
  <si>
    <t>Review Date</t>
  </si>
  <si>
    <t>Status</t>
  </si>
  <si>
    <t>Unauthorized access to email server</t>
  </si>
  <si>
    <t>External attacker</t>
  </si>
  <si>
    <t>Weak password policy</t>
  </si>
  <si>
    <t>Data breach, loss of confidentiality</t>
  </si>
  <si>
    <t>Strong passwords, 2FA</t>
  </si>
  <si>
    <t>Implement regular password audits; MFA</t>
  </si>
  <si>
    <t>IT Security Team</t>
  </si>
  <si>
    <t>Open</t>
  </si>
  <si>
    <t>SQL injection attack on database server</t>
  </si>
  <si>
    <t>Cybercriminals</t>
  </si>
  <si>
    <t>Unpatched SQL software</t>
  </si>
  <si>
    <t>Data theft, system compromise</t>
  </si>
  <si>
    <t>WAF, input validation</t>
  </si>
  <si>
    <t>Apply latest security patches; enhance WAF rules</t>
  </si>
  <si>
    <t>Database Admin</t>
  </si>
  <si>
    <t>DDoS attack on web server</t>
  </si>
  <si>
    <t>Hacktivists</t>
  </si>
  <si>
    <t>Insufficient network bandwidth</t>
  </si>
  <si>
    <t>Web downtime, service disruption</t>
  </si>
  <si>
    <t>Load balancer, CDN</t>
  </si>
  <si>
    <t>Increase bandwidth; deploy anti-DDoS services</t>
  </si>
  <si>
    <t>Network Team</t>
  </si>
  <si>
    <t>Phishing attack targeting employees</t>
  </si>
  <si>
    <t>Workstations</t>
  </si>
  <si>
    <t>Social Engineering</t>
  </si>
  <si>
    <t>Lack of awareness training</t>
  </si>
  <si>
    <t>Credential theft, malware infection</t>
  </si>
  <si>
    <t>Email filtering, awareness training</t>
  </si>
  <si>
    <t>Conduct regular phishing simulations</t>
  </si>
  <si>
    <t>HR &amp; IT Security</t>
  </si>
  <si>
    <t>Physical theft of laptops</t>
  </si>
  <si>
    <t>Insider threat OR external thief</t>
  </si>
  <si>
    <t>Inadequate physical security</t>
  </si>
  <si>
    <t>Loss of sensitive data, data breach</t>
  </si>
  <si>
    <t>Encryption, physical locks</t>
  </si>
  <si>
    <t>Improve physical security; enforce encryption; MDM management for remote wipe</t>
  </si>
  <si>
    <t xml:space="preserve">Workstations </t>
  </si>
  <si>
    <t>Outdated software Versions</t>
  </si>
  <si>
    <t>Autoupdates</t>
  </si>
  <si>
    <t>Department Chair</t>
  </si>
  <si>
    <t>Closed</t>
  </si>
  <si>
    <t>External Attacker</t>
  </si>
  <si>
    <t>Outdated software versions</t>
  </si>
  <si>
    <t>Loss of sensitive data, data breach, financial repercussions</t>
  </si>
  <si>
    <t>Finance Dept.</t>
  </si>
  <si>
    <t>Asset Category</t>
  </si>
  <si>
    <t>Business Importance</t>
  </si>
  <si>
    <t>Data Sensitivity</t>
  </si>
  <si>
    <t>Impact of Compromise</t>
  </si>
  <si>
    <t>Likelihood of Threat</t>
  </si>
  <si>
    <t>Total Rating (Sum)</t>
  </si>
  <si>
    <t>Priority Level</t>
  </si>
  <si>
    <t>Server, Data</t>
  </si>
  <si>
    <t>Endpoint</t>
  </si>
  <si>
    <t>Networking, Infrastructure</t>
  </si>
  <si>
    <t>Low</t>
  </si>
  <si>
    <t>Security, Infrastructure, Networking</t>
  </si>
  <si>
    <t>Infrastructure, Endpoint,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</si>
</sst>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Roboto Condensed"/>
    </font>
    <font>
      <color theme="1"/>
      <name val="Roboto Condensed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2" fontId="2" numFmtId="164" xfId="0" applyAlignment="1" applyFont="1" applyNumberForma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2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3" max="3" width="15.5"/>
    <col customWidth="1" min="6" max="6" width="13.75"/>
    <col customWidth="1" min="9" max="9" width="10.5"/>
    <col customWidth="1" min="10" max="10" width="14.0"/>
    <col customWidth="1" min="12" max="12" width="18.13"/>
    <col customWidth="1" min="13" max="13" width="11.88"/>
    <col customWidth="1" min="14" max="14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3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5"/>
      <c r="M2" s="2" t="s">
        <v>24</v>
      </c>
      <c r="N2" s="5"/>
    </row>
    <row r="3">
      <c r="A3" s="2">
        <v>2.0</v>
      </c>
      <c r="B3" s="2" t="s">
        <v>25</v>
      </c>
      <c r="C3" s="3" t="s">
        <v>15</v>
      </c>
      <c r="D3" s="4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26</v>
      </c>
      <c r="M3" s="2" t="s">
        <v>24</v>
      </c>
      <c r="N3" s="5"/>
    </row>
    <row r="4">
      <c r="A4" s="2">
        <v>3.0</v>
      </c>
      <c r="B4" s="2" t="s">
        <v>27</v>
      </c>
      <c r="C4" s="3" t="s">
        <v>15</v>
      </c>
      <c r="D4" s="4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28</v>
      </c>
      <c r="M4" s="2" t="s">
        <v>24</v>
      </c>
      <c r="N4" s="5"/>
    </row>
    <row r="5">
      <c r="A5" s="6">
        <v>9.0</v>
      </c>
      <c r="B5" s="6" t="s">
        <v>29</v>
      </c>
      <c r="C5" s="7" t="s">
        <v>30</v>
      </c>
      <c r="D5" s="4" t="s">
        <v>16</v>
      </c>
      <c r="E5" s="6" t="s">
        <v>31</v>
      </c>
      <c r="F5" s="6" t="s">
        <v>32</v>
      </c>
      <c r="G5" s="2" t="s">
        <v>19</v>
      </c>
      <c r="H5" s="2" t="s">
        <v>20</v>
      </c>
      <c r="I5" s="2" t="s">
        <v>21</v>
      </c>
      <c r="J5" s="2" t="s">
        <v>22</v>
      </c>
      <c r="K5" s="6" t="s">
        <v>33</v>
      </c>
      <c r="L5" s="6"/>
      <c r="M5" s="2" t="s">
        <v>24</v>
      </c>
      <c r="N5" s="8"/>
    </row>
    <row r="6">
      <c r="A6" s="2">
        <v>4.0</v>
      </c>
      <c r="B6" s="2" t="s">
        <v>34</v>
      </c>
      <c r="C6" s="3" t="s">
        <v>30</v>
      </c>
      <c r="D6" s="4" t="s">
        <v>16</v>
      </c>
      <c r="E6" s="2" t="s">
        <v>31</v>
      </c>
      <c r="F6" s="2" t="s">
        <v>35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33</v>
      </c>
      <c r="L6" s="5"/>
      <c r="M6" s="2" t="s">
        <v>24</v>
      </c>
      <c r="N6" s="5"/>
    </row>
    <row r="7">
      <c r="A7" s="2">
        <v>5.0</v>
      </c>
      <c r="B7" s="2" t="s">
        <v>36</v>
      </c>
      <c r="C7" s="3" t="s">
        <v>30</v>
      </c>
      <c r="D7" s="4" t="s">
        <v>16</v>
      </c>
      <c r="E7" s="2" t="s">
        <v>31</v>
      </c>
      <c r="F7" s="2" t="s">
        <v>37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33</v>
      </c>
      <c r="L7" s="2" t="s">
        <v>38</v>
      </c>
      <c r="M7" s="2" t="s">
        <v>24</v>
      </c>
      <c r="N7" s="5"/>
    </row>
    <row r="8">
      <c r="A8" s="9">
        <v>8.0</v>
      </c>
      <c r="B8" s="9" t="s">
        <v>39</v>
      </c>
      <c r="C8" s="10" t="s">
        <v>30</v>
      </c>
      <c r="D8" s="4" t="s">
        <v>16</v>
      </c>
      <c r="E8" s="9" t="s">
        <v>31</v>
      </c>
      <c r="F8" s="9" t="s">
        <v>40</v>
      </c>
      <c r="G8" s="2" t="s">
        <v>19</v>
      </c>
      <c r="H8" s="2" t="s">
        <v>20</v>
      </c>
      <c r="I8" s="2" t="s">
        <v>21</v>
      </c>
      <c r="J8" s="2" t="s">
        <v>22</v>
      </c>
      <c r="K8" s="9" t="s">
        <v>33</v>
      </c>
      <c r="L8" s="9"/>
      <c r="M8" s="2" t="s">
        <v>24</v>
      </c>
      <c r="N8" s="11"/>
    </row>
    <row r="9">
      <c r="A9" s="2">
        <v>6.0</v>
      </c>
      <c r="B9" s="2" t="s">
        <v>41</v>
      </c>
      <c r="C9" s="3" t="s">
        <v>42</v>
      </c>
      <c r="D9" s="4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33</v>
      </c>
      <c r="L9" s="5"/>
      <c r="M9" s="2" t="s">
        <v>24</v>
      </c>
      <c r="N9" s="5"/>
    </row>
    <row r="10">
      <c r="A10" s="2">
        <v>7.0</v>
      </c>
      <c r="B10" s="2" t="s">
        <v>43</v>
      </c>
      <c r="C10" s="3" t="s">
        <v>44</v>
      </c>
      <c r="D10" s="4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45</v>
      </c>
      <c r="M10" s="2" t="s">
        <v>24</v>
      </c>
      <c r="N10" s="5"/>
    </row>
  </sheetData>
  <dataValidations>
    <dataValidation type="list" allowBlank="1" showErrorMessage="1" sqref="E2:E10">
      <formula1>"Data Center,Office,Remote"</formula1>
    </dataValidation>
    <dataValidation type="list" allowBlank="1" showErrorMessage="1" sqref="K2:K10">
      <formula1>"High,Medium,Low"</formula1>
    </dataValidation>
    <dataValidation type="list" allowBlank="1" showErrorMessage="1" sqref="C2:C10">
      <formula1>"Server,Workstation,Networking,Security"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26.38"/>
    <col customWidth="1" min="4" max="4" width="19.88"/>
    <col customWidth="1" min="5" max="5" width="15.75"/>
    <col customWidth="1" min="6" max="6" width="17.75"/>
    <col customWidth="1" min="10" max="10" width="17.38"/>
    <col customWidth="1" min="11" max="11" width="21.75"/>
    <col customWidth="1" min="13" max="13" width="9.25"/>
  </cols>
  <sheetData>
    <row r="1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2" t="s">
        <v>55</v>
      </c>
      <c r="K1" s="12" t="s">
        <v>56</v>
      </c>
      <c r="L1" s="12" t="s">
        <v>57</v>
      </c>
      <c r="M1" s="12" t="s">
        <v>58</v>
      </c>
      <c r="N1" s="12" t="s">
        <v>59</v>
      </c>
    </row>
    <row r="2">
      <c r="A2" s="13">
        <v>1.0</v>
      </c>
      <c r="B2" s="13" t="s">
        <v>60</v>
      </c>
      <c r="C2" s="13" t="s">
        <v>14</v>
      </c>
      <c r="D2" s="13" t="s">
        <v>61</v>
      </c>
      <c r="E2" s="13" t="s">
        <v>62</v>
      </c>
      <c r="F2" s="13" t="s">
        <v>63</v>
      </c>
      <c r="G2" s="13" t="s">
        <v>23</v>
      </c>
      <c r="H2" s="13" t="s">
        <v>23</v>
      </c>
      <c r="I2" s="13" t="s">
        <v>23</v>
      </c>
      <c r="J2" s="13" t="s">
        <v>64</v>
      </c>
      <c r="K2" s="13" t="s">
        <v>65</v>
      </c>
      <c r="L2" s="13" t="s">
        <v>66</v>
      </c>
      <c r="M2" s="14">
        <v>45505.0</v>
      </c>
      <c r="N2" s="13" t="s">
        <v>67</v>
      </c>
    </row>
    <row r="3">
      <c r="A3" s="13">
        <v>2.0</v>
      </c>
      <c r="B3" s="13" t="s">
        <v>68</v>
      </c>
      <c r="C3" s="13" t="s">
        <v>27</v>
      </c>
      <c r="D3" s="13" t="s">
        <v>69</v>
      </c>
      <c r="E3" s="13" t="s">
        <v>70</v>
      </c>
      <c r="F3" s="13" t="s">
        <v>71</v>
      </c>
      <c r="G3" s="13" t="s">
        <v>33</v>
      </c>
      <c r="H3" s="13" t="s">
        <v>23</v>
      </c>
      <c r="I3" s="13" t="s">
        <v>23</v>
      </c>
      <c r="J3" s="13" t="s">
        <v>72</v>
      </c>
      <c r="K3" s="13" t="s">
        <v>73</v>
      </c>
      <c r="L3" s="13" t="s">
        <v>74</v>
      </c>
      <c r="M3" s="14">
        <v>45505.0</v>
      </c>
      <c r="N3" s="13" t="s">
        <v>67</v>
      </c>
    </row>
    <row r="4">
      <c r="A4" s="13">
        <v>3.0</v>
      </c>
      <c r="B4" s="13" t="s">
        <v>75</v>
      </c>
      <c r="C4" s="13" t="s">
        <v>25</v>
      </c>
      <c r="D4" s="13" t="s">
        <v>76</v>
      </c>
      <c r="E4" s="13" t="s">
        <v>77</v>
      </c>
      <c r="F4" s="13" t="s">
        <v>78</v>
      </c>
      <c r="G4" s="13" t="s">
        <v>23</v>
      </c>
      <c r="H4" s="13" t="s">
        <v>33</v>
      </c>
      <c r="I4" s="13" t="s">
        <v>23</v>
      </c>
      <c r="J4" s="13" t="s">
        <v>79</v>
      </c>
      <c r="K4" s="13" t="s">
        <v>80</v>
      </c>
      <c r="L4" s="13" t="s">
        <v>81</v>
      </c>
      <c r="M4" s="14">
        <v>45505.0</v>
      </c>
      <c r="N4" s="13" t="s">
        <v>67</v>
      </c>
    </row>
    <row r="5">
      <c r="A5" s="13">
        <v>4.0</v>
      </c>
      <c r="B5" s="13" t="s">
        <v>82</v>
      </c>
      <c r="C5" s="13" t="s">
        <v>83</v>
      </c>
      <c r="D5" s="13" t="s">
        <v>84</v>
      </c>
      <c r="E5" s="13" t="s">
        <v>85</v>
      </c>
      <c r="F5" s="13" t="s">
        <v>86</v>
      </c>
      <c r="G5" s="13" t="s">
        <v>23</v>
      </c>
      <c r="H5" s="13" t="s">
        <v>33</v>
      </c>
      <c r="I5" s="13" t="s">
        <v>33</v>
      </c>
      <c r="J5" s="13" t="s">
        <v>87</v>
      </c>
      <c r="K5" s="13" t="s">
        <v>88</v>
      </c>
      <c r="L5" s="13" t="s">
        <v>89</v>
      </c>
      <c r="M5" s="14">
        <v>45505.0</v>
      </c>
      <c r="N5" s="13" t="s">
        <v>67</v>
      </c>
    </row>
    <row r="6">
      <c r="A6" s="13">
        <v>5.0</v>
      </c>
      <c r="B6" s="15" t="s">
        <v>90</v>
      </c>
      <c r="C6" s="13" t="s">
        <v>83</v>
      </c>
      <c r="D6" s="13" t="s">
        <v>91</v>
      </c>
      <c r="E6" s="13" t="s">
        <v>92</v>
      </c>
      <c r="F6" s="13" t="s">
        <v>93</v>
      </c>
      <c r="G6" s="13" t="s">
        <v>33</v>
      </c>
      <c r="H6" s="13" t="s">
        <v>23</v>
      </c>
      <c r="I6" s="13" t="s">
        <v>33</v>
      </c>
      <c r="J6" s="13" t="s">
        <v>94</v>
      </c>
      <c r="K6" s="13" t="s">
        <v>95</v>
      </c>
      <c r="L6" s="13" t="s">
        <v>18</v>
      </c>
      <c r="M6" s="14">
        <v>45505.0</v>
      </c>
      <c r="N6" s="13" t="s">
        <v>67</v>
      </c>
    </row>
    <row r="7">
      <c r="A7" s="16">
        <v>7.0</v>
      </c>
      <c r="B7" s="13" t="s">
        <v>82</v>
      </c>
      <c r="C7" s="16" t="s">
        <v>96</v>
      </c>
      <c r="D7" s="16" t="s">
        <v>61</v>
      </c>
      <c r="E7" s="16" t="s">
        <v>97</v>
      </c>
      <c r="F7" s="16" t="s">
        <v>93</v>
      </c>
      <c r="G7" s="16" t="s">
        <v>23</v>
      </c>
      <c r="H7" s="16" t="s">
        <v>23</v>
      </c>
      <c r="I7" s="16" t="s">
        <v>23</v>
      </c>
      <c r="J7" s="16" t="s">
        <v>87</v>
      </c>
      <c r="K7" s="16" t="s">
        <v>98</v>
      </c>
      <c r="L7" s="16" t="s">
        <v>99</v>
      </c>
      <c r="M7" s="17">
        <v>45569.0</v>
      </c>
      <c r="N7" s="16" t="s">
        <v>100</v>
      </c>
    </row>
    <row r="8">
      <c r="A8" s="18">
        <v>6.0</v>
      </c>
      <c r="B8" s="15" t="s">
        <v>82</v>
      </c>
      <c r="C8" s="18" t="s">
        <v>83</v>
      </c>
      <c r="D8" s="18" t="s">
        <v>101</v>
      </c>
      <c r="E8" s="18" t="s">
        <v>102</v>
      </c>
      <c r="F8" s="18" t="s">
        <v>103</v>
      </c>
      <c r="G8" s="18" t="s">
        <v>23</v>
      </c>
      <c r="H8" s="18" t="s">
        <v>23</v>
      </c>
      <c r="I8" s="18" t="s">
        <v>23</v>
      </c>
      <c r="J8" s="18" t="s">
        <v>87</v>
      </c>
      <c r="K8" s="18" t="s">
        <v>98</v>
      </c>
      <c r="L8" s="18" t="s">
        <v>104</v>
      </c>
      <c r="M8" s="19">
        <v>45569.0</v>
      </c>
      <c r="N8" s="18" t="s">
        <v>100</v>
      </c>
    </row>
  </sheetData>
  <dataValidations>
    <dataValidation type="list" allowBlank="1" showErrorMessage="1" sqref="N2:N8">
      <formula1>"Open,Closed"</formula1>
    </dataValidation>
    <dataValidation type="list" allowBlank="1" showErrorMessage="1" sqref="G2:I8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15.88"/>
    <col customWidth="1" min="4" max="4" width="11.63"/>
    <col customWidth="1" min="5" max="5" width="16.0"/>
    <col customWidth="1" min="6" max="6" width="14.0"/>
    <col customWidth="1" min="7" max="7" width="12.75"/>
  </cols>
  <sheetData>
    <row r="1">
      <c r="A1" s="1" t="s">
        <v>1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>
      <c r="A2" s="2" t="s">
        <v>14</v>
      </c>
      <c r="B2" s="3" t="s">
        <v>15</v>
      </c>
      <c r="C2" s="2">
        <v>5.0</v>
      </c>
      <c r="D2" s="2">
        <v>4.0</v>
      </c>
      <c r="E2" s="2">
        <v>5.0</v>
      </c>
      <c r="F2" s="2">
        <v>4.0</v>
      </c>
      <c r="G2" s="5">
        <f t="shared" ref="G2:G8" si="1">SUM(C2:F2)</f>
        <v>18</v>
      </c>
      <c r="H2" s="13" t="s">
        <v>23</v>
      </c>
    </row>
    <row r="3">
      <c r="A3" s="2" t="s">
        <v>25</v>
      </c>
      <c r="B3" s="3" t="s">
        <v>15</v>
      </c>
      <c r="C3" s="2">
        <v>3.0</v>
      </c>
      <c r="D3" s="2">
        <v>2.0</v>
      </c>
      <c r="E3" s="2">
        <v>3.0</v>
      </c>
      <c r="F3" s="2">
        <v>4.0</v>
      </c>
      <c r="G3" s="5">
        <f t="shared" si="1"/>
        <v>12</v>
      </c>
      <c r="H3" s="13" t="s">
        <v>33</v>
      </c>
    </row>
    <row r="4">
      <c r="A4" s="2" t="s">
        <v>27</v>
      </c>
      <c r="B4" s="3" t="s">
        <v>112</v>
      </c>
      <c r="C4" s="2">
        <v>5.0</v>
      </c>
      <c r="D4" s="2">
        <v>5.0</v>
      </c>
      <c r="E4" s="2">
        <v>5.0</v>
      </c>
      <c r="F4" s="2">
        <v>2.0</v>
      </c>
      <c r="G4" s="5">
        <f t="shared" si="1"/>
        <v>17</v>
      </c>
      <c r="H4" s="13" t="s">
        <v>23</v>
      </c>
    </row>
    <row r="5">
      <c r="A5" s="2" t="s">
        <v>34</v>
      </c>
      <c r="B5" s="3" t="s">
        <v>113</v>
      </c>
      <c r="C5" s="2">
        <v>3.0</v>
      </c>
      <c r="D5" s="2">
        <v>2.0</v>
      </c>
      <c r="E5" s="2">
        <v>4.0</v>
      </c>
      <c r="F5" s="2">
        <v>4.0</v>
      </c>
      <c r="G5" s="5">
        <f t="shared" si="1"/>
        <v>13</v>
      </c>
      <c r="H5" s="13" t="s">
        <v>33</v>
      </c>
    </row>
    <row r="6">
      <c r="A6" s="2" t="s">
        <v>36</v>
      </c>
      <c r="B6" s="3" t="s">
        <v>113</v>
      </c>
      <c r="C6" s="2">
        <v>3.0</v>
      </c>
      <c r="D6" s="2">
        <v>3.0</v>
      </c>
      <c r="E6" s="2">
        <v>4.0</v>
      </c>
      <c r="F6" s="2">
        <v>4.0</v>
      </c>
      <c r="G6" s="5">
        <f t="shared" si="1"/>
        <v>14</v>
      </c>
      <c r="H6" s="13" t="s">
        <v>33</v>
      </c>
    </row>
    <row r="7">
      <c r="A7" s="2" t="s">
        <v>41</v>
      </c>
      <c r="B7" s="3" t="s">
        <v>114</v>
      </c>
      <c r="C7" s="2">
        <v>4.0</v>
      </c>
      <c r="D7" s="2">
        <v>2.0</v>
      </c>
      <c r="E7" s="2">
        <v>2.0</v>
      </c>
      <c r="F7" s="2">
        <v>1.0</v>
      </c>
      <c r="G7" s="5">
        <f t="shared" si="1"/>
        <v>9</v>
      </c>
      <c r="H7" s="13" t="s">
        <v>115</v>
      </c>
    </row>
    <row r="8">
      <c r="A8" s="2" t="s">
        <v>43</v>
      </c>
      <c r="B8" s="3" t="s">
        <v>116</v>
      </c>
      <c r="C8" s="2">
        <v>5.0</v>
      </c>
      <c r="D8" s="2">
        <v>3.0</v>
      </c>
      <c r="E8" s="2">
        <v>5.0</v>
      </c>
      <c r="F8" s="2">
        <v>2.0</v>
      </c>
      <c r="G8" s="5">
        <f t="shared" si="1"/>
        <v>15</v>
      </c>
      <c r="H8" s="13" t="s">
        <v>23</v>
      </c>
    </row>
    <row r="9">
      <c r="A9" s="9" t="s">
        <v>39</v>
      </c>
      <c r="B9" s="10" t="s">
        <v>113</v>
      </c>
      <c r="C9" s="9">
        <v>5.0</v>
      </c>
      <c r="D9" s="9">
        <v>5.0</v>
      </c>
      <c r="E9" s="9">
        <v>5.0</v>
      </c>
      <c r="F9" s="9">
        <v>5.0</v>
      </c>
      <c r="G9" s="9">
        <v>20.0</v>
      </c>
      <c r="H9" s="18" t="s">
        <v>23</v>
      </c>
    </row>
    <row r="10">
      <c r="A10" s="16" t="s">
        <v>29</v>
      </c>
      <c r="B10" s="7" t="s">
        <v>117</v>
      </c>
      <c r="C10" s="6">
        <v>5.0</v>
      </c>
      <c r="D10" s="6">
        <v>5.0</v>
      </c>
      <c r="E10" s="6">
        <v>5.0</v>
      </c>
      <c r="F10" s="6">
        <v>5.0</v>
      </c>
      <c r="G10" s="6">
        <v>20.0</v>
      </c>
      <c r="H10" s="16" t="s">
        <v>23</v>
      </c>
    </row>
  </sheetData>
  <dataValidations>
    <dataValidation type="list" allowBlank="1" showErrorMessage="1" sqref="C2:F10">
      <formula1>"1,2,3,4,5"</formula1>
    </dataValidation>
    <dataValidation type="list" allowBlank="1" showErrorMessage="1" sqref="H2:H10">
      <formula1>"High,Medium,Low"</formula1>
    </dataValidation>
    <dataValidation type="list" allowBlank="1" showErrorMessage="1" sqref="B2:B10">
      <formula1>"Server,Endpoint,Networking,Security,Infrastructure,Data"</formula1>
    </dataValidation>
  </dataValidations>
  <drawing r:id="rId1"/>
</worksheet>
</file>